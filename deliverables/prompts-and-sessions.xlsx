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rompts" sheetId="1" state="visible" r:id="rId1"/>
    <sheet name="Session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<sst xmlns="http://schemas.openxmlformats.org/spreadsheetml/2006/main" count="54" uniqueCount="54">
  <si>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Step</t>
  </si>
  <si>
    <t xml:space="preserve">Date/time (UTC+03:00)</t>
  </si>
  <si>
    <t xml:space="preserve">Session ID</t>
  </si>
  <si>
    <t xml:space="preserve">Loop / purpose</t>
  </si>
  <si>
    <t xml:space="preserve">Prompt text (as typed)</t>
  </si>
  <si>
    <t xml:space="preserve">Session tokens – total</t>
  </si>
  <si>
    <t xml:space="preserve">Session tokens – new work</t>
  </si>
  <si>
    <t>9d5eafa8-cb72-4469-99a8-38b681b59246</t>
  </si>
  <si>
    <t xml:space="preserve">Framework setup – design the reusable Claude Loops framework (plan first)</t>
  </si>
  <si>
    <t xml:space="preserve">Read docs/task-description.txt and docs/Task_PRD.md carefully.
Your job right now is NOT to build the application. Your job is to build a
REUSABLE "Claude Loops" framework that can implement ANY application from
either a full PRD or a single user story. Nothing inside the loops may be
specific to QuickFlow; project-specific values go in a config file.
The task requires exactly TWO loops. Create:
1. loops/backend-dev/ and loops/frontend-dev/, each with:
   - Loop-instructions.md: the step-by-step loop algorithm
     (read input -&gt; plan phases -&gt; implement one phase -&gt; verify -&gt; update
     progress/state -&gt; next phase). Stop condition: phase verified
     successfully OR 3 failed attempts, then record the failure and stop.
   - task.md: describes this loop's inputs, outputs, and acceptance criteria.
   - progress.md: a log with, per milestone: start time, end time, tokens
     used, status, attempts count, and action items done.
   - state/: a state.json (current phase, attempt count, status per phase,
     last error) so the loop can stop and resume.
   - outputs/: one md file per phase, listing its tasks as checkboxes that
     get marked [x] when achieved.
2. backend-dev rules: input = requirements file path (full PRD or a single
   user story); output = phase files, backend code in backend/, and a
   Swagger/OpenAPI spec exported to a file; verification = curl commands
   per phase, saved with their results in that phase's output file;
   unit tests optional.
3. frontend-dev rules: input = requirements file path + Swagger spec file
   path; output = phase files and frontend code in frontend/; the frontend
   is served by a simple static server at a local URL; verification =
   Playwright MCP against that URL after each feature/phase, with results
   and screenshots saved; unit tests optional.
4. The orchestrator is NOT a third loop. It is only a slash command that
   runs backend-dev first, then passes the generated Swagger file to
   frontend-dev. Each loop must also be runnable directly on its own.
5. Slash commands in .claude/commands/: orchestrate.md, backend-loop.md,
   frontend-loop.md, each taking the requirements path via $ARGUMENTS.
6. loops/config.md holding the project-specific settings: tech stack,
   folders, ports, URLs.
7. A root CLAUDE.md with global rules: always update progress.md and
   state/ after every phase, never skip verification, and log tokens used
   per milestone.
Tech stack for this project (put it in loops/config.md):
- Backend: ASP.NET Core Web API (.NET 8) + EF Core + SQLite + Swashbuckle,
  with CORS enabled for the frontend URL.
- Frontend: plain HTML, CSS, JavaScript and jQuery only. No frameworks,
  no build step.
Show me the plan first before creating files.</t>
  </si>
  <si>
    <t xml:space="preserve">Framework setup – approve plan, answer questions, create files</t>
  </si>
  <si>
    <t xml:space="preserve">Approved. Answers:
- Ports 5080 and 5500 are fine.
- Use npx http-server.
- The token-usage script is OK. After the first phase, show me its reading
  so I can verify it.
- Skip the README and other deliverables for now; we will do them after
  the loops run.
- I renamed the task file to docs/task-description.txt; use that path.
Go ahead and create the files.</t>
  </si>
  <si>
    <t>420f0aff-a628-4393-b42c-16d82885ecc9</t>
  </si>
  <si>
    <t xml:space="preserve">backend-dev loop – run on full PRD (planning + phase 01)</t>
  </si>
  <si>
    <t xml:space="preserve">/backend-loop docs/Task_PRD.md</t>
  </si>
  <si>
    <t xml:space="preserve">backend-dev loop – token-format feedback, resume phases 02–07 non-stop</t>
  </si>
  <si>
    <t xml:space="preserve">The readings look correct. For every milestone in progress.md, log both:
- total (including cache reads)
- new work = input + cache write + output
Apply the same format to the planning entry and keep it for all future
phases and for the frontend loop.
The NuGet and dotnet-ef changes are fine.
Now resume /backend-loop docs/Task_PRD.md from phase-02. Do not stop after
each phase to ask me; continue through all remaining phases, and stop only
if a phase fails 3 times or the loop is complete.</t>
  </si>
  <si>
    <t>dbce93dc-0205-4499-a3bc-e4b2b73b6bd0</t>
  </si>
  <si>
    <t xml:space="preserve">frontend-dev loop – run on full PRD + exported Swagger (all phases)</t>
  </si>
  <si>
    <t xml:space="preserve">/frontend-loop docs/Task_PRD.md docs/api/swagger.json</t>
  </si>
  <si>
    <t>ad453de1-7a04-46ff-880e-301b30e2ff04</t>
  </si>
  <si>
    <t xml:space="preserve">Deliverable – loops README with mermaid sequence diagrams</t>
  </si>
  <si>
    <t xml:space="preserve">Create README.md at the repo root describing the loops framework:
- Purpose and how the loops are reusable (full PRD or a single user story).
- Folder structure and what each loop file does.
- How to run each loop directly and via /orchestrate.
- Mermaid sequence diagrams for: the orchestrator flow, the backend-dev
  loop (plan -&gt; implement -&gt; curl verify -&gt; retry up to 3 -&gt; progress/state),
  and the frontend-dev loop (with Playwright MCP verification).
- A results summary from both progress.md files (phases, checks, attempts,
  tokens), and how to run the backend and the frontend.
Base everything on the real files and results, not on assumptions.</t>
  </si>
  <si>
    <t>48e5d7d1-e5ab-4109-b011-a510eae6c6fe</t>
  </si>
  <si>
    <t xml:space="preserve">Deliverable – this prompts &amp; sessions workbook</t>
  </si>
  <si>
    <t xml:space="preserve">Using the Claude Code session transcripts for this project under
~/.claude/projects/, create deliverables/prompts-and-sessions.xlsx with
one row per prompt I typed: step number, date/time, session ID, loop or
purpose, the full prompt text, and tokens for that session if available.
Only include my own prompts, not tool output.</t>
  </si>
  <si>
    <t>Notes</t>
  </si>
  <si>
    <t xml:space="preserve">• One row per prompt typed by the user. Excluded: tool results, skill/slash-command expansions (isMeta), background task notifications, subagent messages, IDE context tags, and '[Request interrupted by user]' markers.</t>
  </si>
  <si>
    <t xml:space="preserve">• Slash-command prompts are shown as typed (command + arguments).</t>
  </si>
  <si>
    <t xml:space="preserve">• Session tokens are for the whole session, so they repeat on every prompt of that session; see the Sessions sheet for the breakdown.</t>
  </si>
  <si>
    <t xml:space="preserve">• Total = input + cache write + cache read + output. New work = input + cache write + output (cache reads excluded).</t>
  </si>
  <si>
    <t xml:space="preserve">• Source: ~/.claude/projects/c--Users-hm245-source-repos-QuickFlow/*.jsonl, generated 2026-09-25 15:36 (UTC+03:00).</t>
  </si>
  <si>
    <t xml:space="preserve">Start (UTC+03:00)</t>
  </si>
  <si>
    <t xml:space="preserve">End (UTC+03:00)</t>
  </si>
  <si>
    <t>Prompts</t>
  </si>
  <si>
    <t>Model</t>
  </si>
  <si>
    <t xml:space="preserve">API calls</t>
  </si>
  <si>
    <t>Input</t>
  </si>
  <si>
    <t xml:space="preserve">Cache write</t>
  </si>
  <si>
    <t xml:space="preserve">Cache read</t>
  </si>
  <si>
    <t>Output</t>
  </si>
  <si>
    <t xml:space="preserve">Total tokens</t>
  </si>
  <si>
    <t xml:space="preserve">New work tokens</t>
  </si>
  <si>
    <t>72cff1cd-47cd-4d3b-90ab-03efabc0af2b</t>
  </si>
  <si>
    <t xml:space="preserve">Aborted docs-skill invocation</t>
  </si>
  <si>
    <t>—</t>
  </si>
  <si>
    <t xml:space="preserve">Framework setup</t>
  </si>
  <si>
    <t>claude-opus-5-5</t>
  </si>
  <si>
    <t xml:space="preserve">backend-dev loop</t>
  </si>
  <si>
    <t xml:space="preserve">frontend-dev loop</t>
  </si>
  <si>
    <t xml:space="preserve">Deliverable – README</t>
  </si>
  <si>
    <t xml:space="preserve">Deliverable – prompts workbook</t>
  </si>
  <si>
    <t>Total</t>
  </si>
  <si>
    <t xml:space="preserve">Token counts summed from the usage of each unique assistant message (API call) in the session transcript; hardcoded values (blue) come from the transcripts, black cells are formulas.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</si>
</sst>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#,##0;(#,##0);-"/>
  </numFmts>
  <fonts count="6">
    <font>
      <sz val="11.000000"/>
      <color theme="1"/>
      <name val="Calibri"/>
      <scheme val="minor"/>
    </font>
    <font>
      <b/>
      <color indexed="65"/>
      <name val="Arial"/>
    </font>
    <font>
      <sz val="10.000000"/>
      <name val="Arial"/>
    </font>
    <font>
      <b/>
      <sz val="10.000000"/>
      <name val="Arial"/>
    </font>
    <font>
      <i/>
      <sz val="9.000000"/>
      <color rgb="FF595959"/>
      <name val="Arial"/>
    </font>
    <font>
      <sz val="10.000000"/>
      <color indexed="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thin">
        <color rgb="FFBFBFBF"/>
      </left>
      <right style="thin">
        <color rgb="FFBFBFBF"/>
      </right>
      <top style="medium">
        <color theme="1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vertical="center" wrapText="1"/>
    </xf>
    <xf fontId="2" fillId="0" borderId="1" numFmtId="0" xfId="0" applyFont="1" applyBorder="1" applyAlignment="1" quotePrefix="0" pivotButton="0">
      <alignment vertical="top"/>
    </xf>
    <xf fontId="2" fillId="0" borderId="1" numFmtId="164" xfId="0" applyNumberFormat="1" applyFont="1" applyBorder="1" applyAlignment="1" quotePrefix="0" pivotButton="0">
      <alignment vertical="top"/>
    </xf>
    <xf fontId="2" fillId="0" borderId="1" numFmtId="0" xfId="0" applyFont="1" applyBorder="1" applyAlignment="1" quotePrefix="0" pivotButton="0">
      <alignment vertical="top" wrapText="1"/>
    </xf>
    <xf fontId="2" fillId="0" borderId="1" numFmtId="165" xfId="0" applyNumberFormat="1" applyFont="1" applyBorder="1" applyAlignment="1" quotePrefix="0" pivotButton="0">
      <alignment vertical="top"/>
    </xf>
    <xf fontId="3" fillId="0" borderId="0" numFmtId="0" xfId="0" applyFont="1" quotePrefix="0" pivotButton="0"/>
    <xf fontId="4" fillId="0" borderId="0" numFmtId="0" xfId="0" applyFont="1" quotePrefix="0" pivotButton="0"/>
    <xf fontId="5" fillId="0" borderId="1" numFmtId="165" xfId="0" applyNumberFormat="1" applyFont="1" applyBorder="1" applyAlignment="1" quotePrefix="0" pivotButton="0">
      <alignment vertical="top"/>
    </xf>
    <xf fontId="3" fillId="0" borderId="2" numFmtId="0" xfId="0" applyFont="1" applyBorder="1" applyAlignment="1" quotePrefix="0" pivotButton="0">
      <alignment vertical="top"/>
    </xf>
    <xf fontId="3" fillId="0" borderId="2" numFmtId="164" xfId="0" applyNumberFormat="1" applyFont="1" applyBorder="1" applyAlignment="1" quotePrefix="0" pivotButton="0">
      <alignment vertical="top"/>
    </xf>
    <xf fontId="3" fillId="0" borderId="2" numFmtId="165" xfId="0" applyNumberFormat="1" applyFont="1" applyBorder="1" applyAlignment="1" quotePrefix="0" pivotButton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Prompts" ref="A1:G9" headerRowCount="1">
  <autoFilter ref="A1:G9"/>
  <tableColumns count="7">
    <tableColumn id="1" name="Step"/>
    <tableColumn id="2" name="Date/time (UTC+03:00)"/>
    <tableColumn id="3" name="Session ID"/>
    <tableColumn id="4" name="Loop / purpose"/>
    <tableColumn id="5" name="Prompt text (as typed)"/>
    <tableColumn id="6" name="Session tokens – total"/>
    <tableColumn id="7" name="Session tokens – new work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18"/>
    <col customWidth="1" min="3" max="3" width="38"/>
    <col customWidth="1" min="4" max="4" width="40"/>
    <col customWidth="1" min="5" max="5" width="95"/>
    <col customWidth="1" min="6" max="7" width="16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.5" hidden="1"/>
    <row r="3" ht="409.5">
      <c r="A3" s="2">
        <v>1</v>
      </c>
      <c r="B3" s="3">
        <v>46289.492509525473</v>
      </c>
      <c r="C3" s="4" t="s">
        <v>7</v>
      </c>
      <c r="D3" s="4" t="s">
        <v>8</v>
      </c>
      <c r="E3" s="4" t="s">
        <v>9</v>
      </c>
      <c r="F3" s="5">
        <f>INDEX(Sessions!$L$2:$L$7,MATCH(C3,Sessions!$A$2:$A$7,0))</f>
        <v>1844660</v>
      </c>
      <c r="G3" s="5">
        <f>INDEX(Sessions!$M$2:$M$7,MATCH(C3,Sessions!$A$2:$A$7,0))</f>
        <v>108229</v>
      </c>
    </row>
    <row r="4" ht="114.75">
      <c r="A4" s="2">
        <v>2</v>
      </c>
      <c r="B4" s="3">
        <v>46289.499451620373</v>
      </c>
      <c r="C4" s="4" t="s">
        <v>7</v>
      </c>
      <c r="D4" s="4" t="s">
        <v>10</v>
      </c>
      <c r="E4" s="4" t="s">
        <v>11</v>
      </c>
      <c r="F4" s="5">
        <f>INDEX(Sessions!$L$2:$L$7,MATCH(C4,Sessions!$A$2:$A$7,0))</f>
        <v>1844660</v>
      </c>
      <c r="G4" s="5">
        <f>INDEX(Sessions!$M$2:$M$7,MATCH(C4,Sessions!$A$2:$A$7,0))</f>
        <v>108229</v>
      </c>
    </row>
    <row r="5" ht="25.5">
      <c r="A5" s="2">
        <v>3</v>
      </c>
      <c r="B5" s="3">
        <v>46289.518482812498</v>
      </c>
      <c r="C5" s="4" t="s">
        <v>12</v>
      </c>
      <c r="D5" s="4" t="s">
        <v>13</v>
      </c>
      <c r="E5" s="4" t="s">
        <v>14</v>
      </c>
      <c r="F5" s="5">
        <f>INDEX(Sessions!$L$2:$L$7,MATCH(C5,Sessions!$A$2:$A$7,0))</f>
        <v>23247449</v>
      </c>
      <c r="G5" s="5">
        <f>INDEX(Sessions!$M$2:$M$7,MATCH(C5,Sessions!$A$2:$A$7,0))</f>
        <v>494721</v>
      </c>
    </row>
    <row r="6" ht="140.25">
      <c r="A6" s="2">
        <v>4</v>
      </c>
      <c r="B6" s="3">
        <v>46289.528937141207</v>
      </c>
      <c r="C6" s="4" t="s">
        <v>12</v>
      </c>
      <c r="D6" s="4" t="s">
        <v>15</v>
      </c>
      <c r="E6" s="4" t="s">
        <v>16</v>
      </c>
      <c r="F6" s="5">
        <f>INDEX(Sessions!$L$2:$L$7,MATCH(C6,Sessions!$A$2:$A$7,0))</f>
        <v>23247449</v>
      </c>
      <c r="G6" s="5">
        <f>INDEX(Sessions!$M$2:$M$7,MATCH(C6,Sessions!$A$2:$A$7,0))</f>
        <v>494721</v>
      </c>
    </row>
    <row r="7" ht="25.5">
      <c r="A7" s="2">
        <v>5</v>
      </c>
      <c r="B7" s="3">
        <v>46289.74141469907</v>
      </c>
      <c r="C7" s="4" t="s">
        <v>17</v>
      </c>
      <c r="D7" s="4" t="s">
        <v>18</v>
      </c>
      <c r="E7" s="4" t="s">
        <v>19</v>
      </c>
      <c r="F7" s="5">
        <f>INDEX(Sessions!$L$2:$L$7,MATCH(C7,Sessions!$A$2:$A$7,0))</f>
        <v>53999982</v>
      </c>
      <c r="G7" s="5">
        <f>INDEX(Sessions!$M$2:$M$7,MATCH(C7,Sessions!$A$2:$A$7,0))</f>
        <v>760880</v>
      </c>
    </row>
    <row r="8" ht="127.5">
      <c r="A8" s="2">
        <v>6</v>
      </c>
      <c r="B8" s="3">
        <v>46290.619899270831</v>
      </c>
      <c r="C8" s="4" t="s">
        <v>20</v>
      </c>
      <c r="D8" s="4" t="s">
        <v>21</v>
      </c>
      <c r="E8" s="4" t="s">
        <v>22</v>
      </c>
      <c r="F8" s="5">
        <f>INDEX(Sessions!$L$2:$L$7,MATCH(C8,Sessions!$A$2:$A$7,0))</f>
        <v>808206</v>
      </c>
      <c r="G8" s="5">
        <f>INDEX(Sessions!$M$2:$M$7,MATCH(C8,Sessions!$A$2:$A$7,0))</f>
        <v>97314</v>
      </c>
    </row>
    <row r="9" ht="63.75">
      <c r="A9" s="2">
        <v>7</v>
      </c>
      <c r="B9" s="3">
        <v>46290.648359664352</v>
      </c>
      <c r="C9" s="4" t="s">
        <v>23</v>
      </c>
      <c r="D9" s="4" t="s">
        <v>24</v>
      </c>
      <c r="E9" s="4" t="s">
        <v>25</v>
      </c>
      <c r="F9" s="5">
        <f>INDEX(Sessions!$L$2:$L$7,MATCH(C9,Sessions!$A$2:$A$7,0))</f>
        <v>469020</v>
      </c>
      <c r="G9" s="5">
        <f>INDEX(Sessions!$M$2:$M$7,MATCH(C9,Sessions!$A$2:$A$7,0))</f>
        <v>52051</v>
      </c>
    </row>
    <row r="11">
      <c r="A11" s="6" t="s">
        <v>26</v>
      </c>
    </row>
    <row r="12">
      <c r="A12" s="7" t="s">
        <v>27</v>
      </c>
    </row>
    <row r="13">
      <c r="A13" s="7" t="s">
        <v>28</v>
      </c>
    </row>
    <row r="14">
      <c r="A14" s="7" t="s">
        <v>29</v>
      </c>
    </row>
    <row r="15">
      <c r="A15" s="7" t="s">
        <v>30</v>
      </c>
    </row>
    <row r="16" hidden="1">
      <c r="A16" s="7"/>
    </row>
    <row r="17">
      <c r="A17" s="7" t="s">
        <v>31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5"/>
  <cols>
    <col customWidth="1" min="1" max="1" width="38"/>
    <col customWidth="1" min="2" max="3" width="18"/>
    <col customWidth="1" min="4" max="4" width="30"/>
    <col customWidth="1" min="5" max="5" width="9"/>
    <col customWidth="1" min="6" max="6" width="18"/>
    <col customWidth="1" min="7" max="8" width="10"/>
    <col customWidth="1" min="9" max="9" width="12"/>
    <col customWidth="1" min="10" max="10" width="14"/>
    <col customWidth="1" min="11" max="11" width="12"/>
    <col customWidth="1" min="12" max="12" width="14"/>
    <col customWidth="1" min="13" max="13" width="15"/>
  </cols>
  <sheetData>
    <row r="1" ht="30" customHeight="1">
      <c r="A1" s="1" t="s">
        <v>2</v>
      </c>
      <c r="B1" s="1" t="s">
        <v>32</v>
      </c>
      <c r="C1" s="1" t="s">
        <v>33</v>
      </c>
      <c r="D1" s="1" t="s">
        <v>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>
      <c r="A2" s="2" t="s">
        <v>43</v>
      </c>
      <c r="B2" s="3">
        <v>46289.483888437499</v>
      </c>
      <c r="C2" s="3">
        <v>46289.483956516196</v>
      </c>
      <c r="D2" s="2" t="s">
        <v>44</v>
      </c>
      <c r="E2" s="2">
        <f>COUNTIF(Prompts!$C$2:$C$9,A2)</f>
        <v>0</v>
      </c>
      <c r="F2" s="2" t="s">
        <v>45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5">
        <f t="shared" ref="L2:L7" si="0">SUM(H2:K2)</f>
        <v>0</v>
      </c>
      <c r="M2" s="5">
        <f t="shared" ref="M2:M7" si="1">H2+I2+K2</f>
        <v>0</v>
      </c>
    </row>
    <row r="3">
      <c r="A3" s="2" t="s">
        <v>7</v>
      </c>
      <c r="B3" s="3">
        <v>46289.49250886574</v>
      </c>
      <c r="C3" s="3">
        <v>46289.504722291669</v>
      </c>
      <c r="D3" s="2" t="s">
        <v>46</v>
      </c>
      <c r="E3" s="2">
        <f>COUNTIF(Prompts!$C$2:$C$9,A3)</f>
        <v>2</v>
      </c>
      <c r="F3" s="2" t="s">
        <v>47</v>
      </c>
      <c r="G3" s="8">
        <v>25</v>
      </c>
      <c r="H3" s="8">
        <v>50</v>
      </c>
      <c r="I3" s="8">
        <v>64871</v>
      </c>
      <c r="J3" s="8">
        <v>1736431</v>
      </c>
      <c r="K3" s="8">
        <v>43308</v>
      </c>
      <c r="L3" s="5">
        <f t="shared" si="0"/>
        <v>1844660</v>
      </c>
      <c r="M3" s="5">
        <f t="shared" si="1"/>
        <v>108229</v>
      </c>
    </row>
    <row r="4">
      <c r="A4" s="2" t="s">
        <v>12</v>
      </c>
      <c r="B4" s="3">
        <v>46289.518481990737</v>
      </c>
      <c r="C4" s="3">
        <v>46289.550528587963</v>
      </c>
      <c r="D4" s="2" t="s">
        <v>48</v>
      </c>
      <c r="E4" s="2">
        <f>COUNTIF(Prompts!$C$2:$C$9,A4)</f>
        <v>2</v>
      </c>
      <c r="F4" s="2" t="s">
        <v>47</v>
      </c>
      <c r="G4" s="8">
        <v>119</v>
      </c>
      <c r="H4" s="8">
        <v>238</v>
      </c>
      <c r="I4" s="8">
        <v>288380</v>
      </c>
      <c r="J4" s="8">
        <v>22752728</v>
      </c>
      <c r="K4" s="8">
        <v>206103</v>
      </c>
      <c r="L4" s="5">
        <f t="shared" si="0"/>
        <v>23247449</v>
      </c>
      <c r="M4" s="5">
        <f t="shared" si="1"/>
        <v>494721</v>
      </c>
    </row>
    <row r="5">
      <c r="A5" s="2" t="s">
        <v>17</v>
      </c>
      <c r="B5" s="3">
        <v>46289.741414131953</v>
      </c>
      <c r="C5" s="3">
        <v>46289.782951805559</v>
      </c>
      <c r="D5" s="2" t="s">
        <v>49</v>
      </c>
      <c r="E5" s="2">
        <f>COUNTIF(Prompts!$C$2:$C$9,A5)</f>
        <v>1</v>
      </c>
      <c r="F5" s="2" t="s">
        <v>47</v>
      </c>
      <c r="G5" s="8">
        <v>209</v>
      </c>
      <c r="H5" s="8">
        <v>418</v>
      </c>
      <c r="I5" s="8">
        <v>498699</v>
      </c>
      <c r="J5" s="8">
        <v>53239102</v>
      </c>
      <c r="K5" s="8">
        <v>261763</v>
      </c>
      <c r="L5" s="5">
        <f t="shared" si="0"/>
        <v>53999982</v>
      </c>
      <c r="M5" s="5">
        <f t="shared" si="1"/>
        <v>760880</v>
      </c>
    </row>
    <row r="6">
      <c r="A6" s="2" t="s">
        <v>20</v>
      </c>
      <c r="B6" s="3">
        <v>46290.61989790509</v>
      </c>
      <c r="C6" s="3">
        <v>46290.621538692132</v>
      </c>
      <c r="D6" s="2" t="s">
        <v>50</v>
      </c>
      <c r="E6" s="2">
        <f>COUNTIF(Prompts!$C$2:$C$9,A6)</f>
        <v>1</v>
      </c>
      <c r="F6" s="2" t="s">
        <v>47</v>
      </c>
      <c r="G6" s="8">
        <v>9</v>
      </c>
      <c r="H6" s="8">
        <v>18</v>
      </c>
      <c r="I6" s="8">
        <v>83696</v>
      </c>
      <c r="J6" s="8">
        <v>710892</v>
      </c>
      <c r="K6" s="8">
        <v>13600</v>
      </c>
      <c r="L6" s="5">
        <f t="shared" si="0"/>
        <v>808206</v>
      </c>
      <c r="M6" s="5">
        <f t="shared" si="1"/>
        <v>97314</v>
      </c>
    </row>
    <row r="7">
      <c r="A7" s="2" t="s">
        <v>23</v>
      </c>
      <c r="B7" s="3">
        <v>46290.648358680563</v>
      </c>
      <c r="C7" s="3">
        <v>46290.650056597216</v>
      </c>
      <c r="D7" s="2" t="s">
        <v>51</v>
      </c>
      <c r="E7" s="2">
        <f>COUNTIF(Prompts!$C$2:$C$9,A7)</f>
        <v>1</v>
      </c>
      <c r="F7" s="2" t="s">
        <v>47</v>
      </c>
      <c r="G7" s="8">
        <v>8</v>
      </c>
      <c r="H7" s="8">
        <v>16</v>
      </c>
      <c r="I7" s="8">
        <v>41588</v>
      </c>
      <c r="J7" s="8">
        <v>416969</v>
      </c>
      <c r="K7" s="8">
        <v>10447</v>
      </c>
      <c r="L7" s="5">
        <f t="shared" si="0"/>
        <v>469020</v>
      </c>
      <c r="M7" s="5">
        <f t="shared" si="1"/>
        <v>52051</v>
      </c>
    </row>
    <row r="8">
      <c r="A8" s="9" t="s">
        <v>52</v>
      </c>
      <c r="B8" s="10"/>
      <c r="C8" s="10"/>
      <c r="D8" s="9"/>
      <c r="E8" s="9">
        <f>SUM(E2:E7)</f>
        <v>7</v>
      </c>
      <c r="F8" s="9"/>
      <c r="G8" s="11">
        <f>SUM(G2:G7)</f>
        <v>370</v>
      </c>
      <c r="H8" s="11">
        <f>SUM(H2:H7)</f>
        <v>740</v>
      </c>
      <c r="I8" s="11">
        <f>SUM(I2:I7)</f>
        <v>977234</v>
      </c>
      <c r="J8" s="11">
        <f>SUM(J2:J7)</f>
        <v>78856122</v>
      </c>
      <c r="K8" s="11">
        <f>SUM(K2:K7)</f>
        <v>535221</v>
      </c>
      <c r="L8" s="11">
        <f>SUM(L2:L7)</f>
        <v>80369317</v>
      </c>
      <c r="M8" s="11">
        <f>SUM(M2:M7)</f>
        <v>1513195</v>
      </c>
    </row>
    <row r="10">
      <c r="A10" s="7" t="s">
        <v>53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2026-09-25T12:36:07Z</dcterms:created>
  <dcterms:modified xsi:type="dcterms:W3CDTF">2026-09-25T12:41:43Z</dcterms:modified>
</cp:coreProperties>
</file>